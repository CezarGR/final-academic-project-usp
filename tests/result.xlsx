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Sheet1!$A$1:$AQ$21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<sst xmlns="http://schemas.openxmlformats.org/spreadsheetml/2006/main" count="253" uniqueCount="123">
  <si>
    <t xml:space="preserve">Pasta do cenário</t>
  </si>
  <si>
    <t xml:space="preserve">Cenario</t>
  </si>
  <si>
    <t xml:space="preserve">Nome do Teste</t>
  </si>
  <si>
    <t xml:space="preserve">applicationUri</t>
  </si>
  <si>
    <t xml:space="preserve">externalApplication</t>
  </si>
  <si>
    <t xml:space="preserve">prometheusUri</t>
  </si>
  <si>
    <t xml:space="preserve">Descrição</t>
  </si>
  <si>
    <t xml:space="preserve">Execução</t>
  </si>
  <si>
    <t xml:space="preserve">CPU Alocada</t>
  </si>
  <si>
    <t xml:space="preserve">Memory Alocada</t>
  </si>
  <si>
    <t xml:space="preserve">Banco de Dados</t>
  </si>
  <si>
    <t xml:space="preserve">Data e hora de início</t>
  </si>
  <si>
    <t xml:space="preserve">Data e hora de fim</t>
  </si>
  <si>
    <t xml:space="preserve">Timestamp</t>
  </si>
  <si>
    <t xml:space="preserve">Código saída k6</t>
  </si>
  <si>
    <t xml:space="preserve">RPS Médio</t>
  </si>
  <si>
    <t xml:space="preserve">Latência P95 (ms)</t>
  </si>
  <si>
    <t xml:space="preserve">Latência P99 (ms)</t>
  </si>
  <si>
    <t xml:space="preserve">Erros</t>
  </si>
  <si>
    <t xml:space="preserve">CPU Min (%)</t>
  </si>
  <si>
    <t xml:space="preserve">CPU Max (%)</t>
  </si>
  <si>
    <t xml:space="preserve">Memória Min (GB)</t>
  </si>
  <si>
    <t xml:space="preserve">Memória Max (GB)</t>
  </si>
  <si>
    <t xml:space="preserve">Pressão memória max (0-1)</t>
  </si>
  <si>
    <t xml:space="preserve">Latência Infra Min (ms)</t>
  </si>
  <si>
    <t xml:space="preserve">Latência Infra Max (ms)</t>
  </si>
  <si>
    <t xml:space="preserve">RPS Min</t>
  </si>
  <si>
    <t xml:space="preserve">RPS Max</t>
  </si>
  <si>
    <t xml:space="preserve">Threads Busy Min</t>
  </si>
  <si>
    <t xml:space="preserve">Threads Busy Max</t>
  </si>
  <si>
    <t xml:space="preserve">Threads Max Config</t>
  </si>
  <si>
    <t xml:space="preserve">JVM Threads Min</t>
  </si>
  <si>
    <t xml:space="preserve">JVM Threads Max</t>
  </si>
  <si>
    <t xml:space="preserve">MongoDB CPU Max</t>
  </si>
  <si>
    <t xml:space="preserve">MongoDB Conexões Max (100)</t>
  </si>
  <si>
    <t xml:space="preserve">SLA K6 P95 &lt; 1s</t>
  </si>
  <si>
    <t xml:space="preserve">SLA K6 P99 &lt; 2s</t>
  </si>
  <si>
    <t xml:space="preserve">SLA K6 taxa falha &lt; 5%</t>
  </si>
  <si>
    <t xml:space="preserve">SLA checks negócio (todos passando)</t>
  </si>
  <si>
    <t xml:space="preserve">SLA Prometheus CPU &lt; 80%</t>
  </si>
  <si>
    <t xml:space="preserve">SLA Prometheus memória &lt; 70% limite</t>
  </si>
  <si>
    <t xml:space="preserve">MongoDB CPU Max (%)</t>
  </si>
  <si>
    <t xml:space="preserve">MongoDB conexões Max (100)</t>
  </si>
  <si>
    <t xml:space="preserve">scenario-4</t>
  </si>
  <si>
    <t xml:space="preserve">k6-load-test.js</t>
  </si>
  <si>
    <t xml:space="preserve">http://ec2.compute-1.amazonaws.com:8080</t>
  </si>
  <si>
    <t xml:space="preserve">http://ec2.compute-1.amazonaws.com:9090</t>
  </si>
  <si>
    <t xml:space="preserve">API e MongoDB na nuvem; Prometheus também externo (ex.: mesma VPC). Nesta máquina: apenas k6 + Docker com Grafana local. O run-tests.py gera o datasource Prometheus apontando para prometheusUri. Ajuste applicationUri, healthCheckUri e prometheusUri.</t>
  </si>
  <si>
    <t xml:space="preserve">1⁰</t>
  </si>
  <si>
    <t xml:space="preserve">externo (cloud)</t>
  </si>
  <si>
    <t xml:space="preserve">2026-04-12 23:05:30</t>
  </si>
  <si>
    <t xml:space="preserve">2026-04-12 23:25:31</t>
  </si>
  <si>
    <t xml:space="preserve">2026-04-12 23:27:04</t>
  </si>
  <si>
    <t xml:space="preserve">inf</t>
  </si>
  <si>
    <t xml:space="preserve">2⁰</t>
  </si>
  <si>
    <t xml:space="preserve">2026-04-12 23:33:57</t>
  </si>
  <si>
    <t xml:space="preserve">2026-04-12 23:53:58</t>
  </si>
  <si>
    <t xml:space="preserve">2026-04-12 23:55:32</t>
  </si>
  <si>
    <t xml:space="preserve">3⁰</t>
  </si>
  <si>
    <t xml:space="preserve">2026-04-13 00:00:38</t>
  </si>
  <si>
    <t xml:space="preserve">2026-04-13 00:20:39</t>
  </si>
  <si>
    <t xml:space="preserve">2026-04-13 00:22:13</t>
  </si>
  <si>
    <t xml:space="preserve">4⁰</t>
  </si>
  <si>
    <t xml:space="preserve">2026-04-13 00:27:18</t>
  </si>
  <si>
    <t xml:space="preserve">2026-04-13 00:47:19</t>
  </si>
  <si>
    <t xml:space="preserve">2026-04-13 00:48:52</t>
  </si>
  <si>
    <t xml:space="preserve">5⁰</t>
  </si>
  <si>
    <t xml:space="preserve">2026-04-13 00:53:57</t>
  </si>
  <si>
    <t xml:space="preserve">2026-04-13 01:13:59</t>
  </si>
  <si>
    <t xml:space="preserve">2026-04-13 01:15:32</t>
  </si>
  <si>
    <t xml:space="preserve">scenario-1</t>
  </si>
  <si>
    <t xml:space="preserve">http://transaction-api:8080</t>
  </si>
  <si>
    <t xml:space="preserve">Uso esperado pelo time de negócio: alta utilização da API com consumo constante e picos eventuais. Infra local: aplicação e MongoDB na mesma máquina do pesquisador. Provisionamento inicial 1,0 CPU e 512 MiB e com o banco de dados na mesma máquina com 1.0 CPU e 512 MiB.</t>
  </si>
  <si>
    <t xml:space="preserve">interno</t>
  </si>
  <si>
    <t xml:space="preserve">2026-04-13 01:22:26</t>
  </si>
  <si>
    <t xml:space="preserve">2026-04-13 01:42:28</t>
  </si>
  <si>
    <t xml:space="preserve">2026-04-13 01:43:26</t>
  </si>
  <si>
    <t xml:space="preserve">2026-04-13 02:41:17</t>
  </si>
  <si>
    <t xml:space="preserve">2026-04-13 03:01:19</t>
  </si>
  <si>
    <t xml:space="preserve">2026-04-13 03:02:17</t>
  </si>
  <si>
    <t xml:space="preserve">2026-04-13 04:00:05</t>
  </si>
  <si>
    <t xml:space="preserve">2026-04-13 04:20:06</t>
  </si>
  <si>
    <t xml:space="preserve">2026-04-13 04:21:05</t>
  </si>
  <si>
    <t xml:space="preserve">2026-04-13 05:18:56</t>
  </si>
  <si>
    <t xml:space="preserve">2026-04-13 05:38:58</t>
  </si>
  <si>
    <t xml:space="preserve">2026-04-13 05:39:57</t>
  </si>
  <si>
    <t xml:space="preserve">2026-04-13 06:37:47</t>
  </si>
  <si>
    <t xml:space="preserve">2026-04-13 06:57:49</t>
  </si>
  <si>
    <t xml:space="preserve">2026-04-13 06:58:48</t>
  </si>
  <si>
    <t xml:space="preserve">scenario-2</t>
  </si>
  <si>
    <t xml:space="preserve">Uso esperado pelo time de negócio: alta utilização da API com consumo constante e picos eventuais. Infra local: aplicação e MongoDB na mesma máquina do pesquisador. Provisionamento inicial 1,0 CPU e 512 MiB e com o banco de dados na mesma máquina com 4.0 CPU e 512 MiB.</t>
  </si>
  <si>
    <t xml:space="preserve">2026-04-13 23:20:24</t>
  </si>
  <si>
    <t xml:space="preserve">2026-04-13 23:40:26</t>
  </si>
  <si>
    <t xml:space="preserve">2026-04-13 23:41:28</t>
  </si>
  <si>
    <t xml:space="preserve">2026-04-13 23:46:43</t>
  </si>
  <si>
    <t xml:space="preserve">2026-04-14 00:06:45</t>
  </si>
  <si>
    <t xml:space="preserve">2026-04-14 00:07:46</t>
  </si>
  <si>
    <t xml:space="preserve">2026-04-14 00:13:02</t>
  </si>
  <si>
    <t xml:space="preserve">2026-04-14 00:33:03</t>
  </si>
  <si>
    <t xml:space="preserve">2026-04-14 00:34:04</t>
  </si>
  <si>
    <t xml:space="preserve">2026-04-14 00:39:20</t>
  </si>
  <si>
    <t xml:space="preserve">2026-04-14 00:59:22</t>
  </si>
  <si>
    <t xml:space="preserve">2026-04-14 01:00:23</t>
  </si>
  <si>
    <t xml:space="preserve">2026-04-14 01:05:38</t>
  </si>
  <si>
    <t xml:space="preserve">2026-04-14 01:25:39</t>
  </si>
  <si>
    <t xml:space="preserve">2026-04-14 01:26:40</t>
  </si>
  <si>
    <t xml:space="preserve">scenario-3</t>
  </si>
  <si>
    <t xml:space="preserve">Uso esperado pelo time de negócio: alta utilização da API com consumo constante e picos eventuais. Infra local: aplicação e MongoDB na mesma máquina do pesquisador. Provisionamento inicial 5.0 CPU e 512 MiB.</t>
  </si>
  <si>
    <t xml:space="preserve">2026-04-14 01:35:41</t>
  </si>
  <si>
    <t xml:space="preserve">2026-04-14 01:55:42</t>
  </si>
  <si>
    <t xml:space="preserve">2026-04-14 01:56:45</t>
  </si>
  <si>
    <t xml:space="preserve">2026-04-14 01:58:01</t>
  </si>
  <si>
    <t xml:space="preserve">2026-04-14 02:18:02</t>
  </si>
  <si>
    <t xml:space="preserve">2026-04-14 02:19:04</t>
  </si>
  <si>
    <t xml:space="preserve">2026-04-14 02:20:19</t>
  </si>
  <si>
    <t xml:space="preserve">2026-04-14 02:40:21</t>
  </si>
  <si>
    <t xml:space="preserve">2026-04-14 02:41:23</t>
  </si>
  <si>
    <t xml:space="preserve">2026-04-14 02:42:38</t>
  </si>
  <si>
    <t xml:space="preserve">2026-04-14 03:02:39</t>
  </si>
  <si>
    <t xml:space="preserve">2026-04-14 03:03:41</t>
  </si>
  <si>
    <t xml:space="preserve">2026-04-14 03:04:57</t>
  </si>
  <si>
    <t xml:space="preserve">2026-04-14 03:24:58</t>
  </si>
  <si>
    <t xml:space="preserve">2026-04-14 03:26:00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</si>
</sst>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0.00%"/>
    <numFmt numFmtId="168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ec2/" TargetMode="External"/><Relationship Id="rId2" Type="http://schemas.openxmlformats.org/officeDocument/2006/relationships/hyperlink" Target="http://ec2/" TargetMode="External"/><Relationship Id="rId3" Type="http://schemas.openxmlformats.org/officeDocument/2006/relationships/hyperlink" Target="http://ec2.compute-1.amazonaws.com:8080/" TargetMode="External"/><Relationship Id="rId4" Type="http://schemas.openxmlformats.org/officeDocument/2006/relationships/hyperlink" Target="http://ec2/" TargetMode="External"/><Relationship Id="rId5" Type="http://schemas.openxmlformats.org/officeDocument/2006/relationships/hyperlink" Target="http://ec2.compute-1.amazonaws.com:8080/" TargetMode="External"/><Relationship Id="rId6" Type="http://schemas.openxmlformats.org/officeDocument/2006/relationships/hyperlink" Target="http://ec2/" TargetMode="External"/><Relationship Id="rId7" Type="http://schemas.openxmlformats.org/officeDocument/2006/relationships/hyperlink" Target="http://ec2.compute-1.amazonaws.com:8080/" TargetMode="External"/><Relationship Id="rId8" Type="http://schemas.openxmlformats.org/officeDocument/2006/relationships/hyperlink" Target="http://ec2/" TargetMode="External"/><Relationship Id="rId9" Type="http://schemas.openxmlformats.org/officeDocument/2006/relationships/hyperlink" Target="http://ec2.compute-1.amazonaws.com:8080/" TargetMode="External"/><Relationship Id="rId10" Type="http://schemas.openxmlformats.org/officeDocument/2006/relationships/hyperlink" Target="http://ec2/" TargetMode="External"/><Relationship Id="rId1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51.49"/>
    <col collapsed="false" customWidth="true" hidden="false" outlineLevel="0" max="5" min="5" style="0" width="21"/>
    <col collapsed="false" customWidth="true" hidden="false" outlineLevel="0" max="6" min="6" style="0" width="42.78"/>
    <col collapsed="false" customWidth="true" hidden="false" outlineLevel="0" max="7" min="7" style="0" width="49.17"/>
    <col collapsed="false" customWidth="true" hidden="false" outlineLevel="0" max="8" min="8" style="0" width="27.78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23"/>
    <col collapsed="false" customWidth="true" hidden="false" outlineLevel="0" max="14" min="13" style="0" width="21"/>
    <col collapsed="false" customWidth="true" hidden="false" outlineLevel="0" max="15" min="15" style="0" width="17"/>
    <col collapsed="false" customWidth="true" hidden="false" outlineLevel="0" max="16" min="16" style="0" width="13.56"/>
    <col collapsed="false" customWidth="true" hidden="false" outlineLevel="0" max="18" min="17" style="0" width="19"/>
    <col collapsed="false" customWidth="true" hidden="false" outlineLevel="0" max="19" min="19" style="0" width="7"/>
    <col collapsed="false" customWidth="true" hidden="false" outlineLevel="0" max="20" min="20" style="0" width="21"/>
    <col collapsed="false" customWidth="true" hidden="false" outlineLevel="0" max="23" min="21" style="0" width="20"/>
    <col collapsed="false" customWidth="true" hidden="false" outlineLevel="0" max="24" min="24" style="0" width="27"/>
    <col collapsed="false" customWidth="true" hidden="false" outlineLevel="0" max="26" min="25" style="0" width="25"/>
    <col collapsed="false" customWidth="true" hidden="false" outlineLevel="0" max="28" min="27" style="0" width="19"/>
    <col collapsed="false" customWidth="true" hidden="false" outlineLevel="0" max="30" min="29" style="0" width="18"/>
    <col collapsed="false" customWidth="true" hidden="false" outlineLevel="0" max="31" min="31" style="0" width="20"/>
    <col collapsed="false" customWidth="true" hidden="false" outlineLevel="0" max="34" min="32" style="0" width="17"/>
    <col collapsed="false" customWidth="true" hidden="false" outlineLevel="0" max="35" min="35" style="0" width="28"/>
    <col collapsed="false" customWidth="true" hidden="false" outlineLevel="0" max="37" min="36" style="0" width="17"/>
    <col collapsed="false" customWidth="true" hidden="false" outlineLevel="0" max="38" min="38" style="0" width="24"/>
    <col collapsed="false" customWidth="true" hidden="false" outlineLevel="0" max="39" min="39" style="0" width="37"/>
    <col collapsed="false" customWidth="true" hidden="false" outlineLevel="0" max="40" min="40" style="0" width="26"/>
    <col collapsed="false" customWidth="true" hidden="false" outlineLevel="0" max="41" min="41" style="0" width="37"/>
    <col collapsed="false" customWidth="true" hidden="false" outlineLevel="0" max="42" min="42" style="0" width="27.34"/>
    <col collapsed="false" customWidth="true" hidden="false" outlineLevel="0" max="43" min="43" style="0" width="30.98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customFormat="false" ht="14.9" hidden="false" customHeight="false" outlineLevel="0" collapsed="false">
      <c r="A2" s="0" t="s">
        <v>43</v>
      </c>
      <c r="B2" s="0" t="s">
        <v>43</v>
      </c>
      <c r="C2" s="0" t="s">
        <v>44</v>
      </c>
      <c r="D2" s="0" t="s">
        <v>45</v>
      </c>
      <c r="E2" s="2" t="b">
        <f aca="false">TRUE()</f>
        <v>1</v>
      </c>
      <c r="F2" s="0" t="s">
        <v>46</v>
      </c>
      <c r="G2" s="0" t="s">
        <v>47</v>
      </c>
      <c r="H2" s="0" t="s">
        <v>48</v>
      </c>
      <c r="I2" s="0" t="n">
        <v>100</v>
      </c>
      <c r="J2" s="0" t="n">
        <v>100</v>
      </c>
      <c r="K2" s="0" t="s">
        <v>49</v>
      </c>
      <c r="L2" s="0" t="s">
        <v>50</v>
      </c>
      <c r="M2" s="0" t="s">
        <v>51</v>
      </c>
      <c r="N2" s="0" t="s">
        <v>52</v>
      </c>
      <c r="O2" s="0" t="n">
        <v>99</v>
      </c>
      <c r="P2" s="0" t="n">
        <v>105318</v>
      </c>
      <c r="Q2" s="3" t="n">
        <v>233.179868</v>
      </c>
      <c r="R2" s="3" t="n">
        <v>335.920396</v>
      </c>
      <c r="S2" s="0" t="n">
        <v>0</v>
      </c>
      <c r="T2" s="4" t="n">
        <v>0.0278766876527136</v>
      </c>
      <c r="U2" s="4" t="n">
        <v>0.451900939582847</v>
      </c>
      <c r="V2" s="5" t="n">
        <v>0.202972412109375</v>
      </c>
      <c r="W2" s="5" t="n">
        <v>0.269874572753906</v>
      </c>
      <c r="X2" s="0" t="s">
        <v>53</v>
      </c>
      <c r="Y2" s="3" t="n">
        <v>14.4039807962025</v>
      </c>
      <c r="Z2" s="3" t="n">
        <v>163.03964148124</v>
      </c>
      <c r="AA2" s="0" t="n">
        <v>0.118593333333333</v>
      </c>
      <c r="AB2" s="0" t="n">
        <v>125.254545454545</v>
      </c>
      <c r="AC2" s="0" t="n">
        <v>1</v>
      </c>
      <c r="AD2" s="0" t="n">
        <v>25</v>
      </c>
      <c r="AE2" s="0" t="n">
        <v>25</v>
      </c>
      <c r="AF2" s="0" t="n">
        <v>32</v>
      </c>
      <c r="AG2" s="0" t="n">
        <v>47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1</v>
      </c>
      <c r="AO2" s="0" t="n">
        <v>0</v>
      </c>
      <c r="AP2" s="4" t="n">
        <v>1.8</v>
      </c>
      <c r="AQ2" s="0" t="n">
        <v>5</v>
      </c>
    </row>
    <row r="3" customFormat="false" ht="14.9" hidden="false" customHeight="false" outlineLevel="0" collapsed="false">
      <c r="A3" s="0" t="s">
        <v>43</v>
      </c>
      <c r="B3" s="0" t="s">
        <v>43</v>
      </c>
      <c r="C3" s="0" t="s">
        <v>44</v>
      </c>
      <c r="D3" s="0" t="s">
        <v>45</v>
      </c>
      <c r="E3" s="2" t="b">
        <f aca="false">TRUE()</f>
        <v>1</v>
      </c>
      <c r="F3" s="0" t="s">
        <v>46</v>
      </c>
      <c r="G3" s="0" t="s">
        <v>47</v>
      </c>
      <c r="H3" s="0" t="s">
        <v>54</v>
      </c>
      <c r="I3" s="0" t="n">
        <v>100</v>
      </c>
      <c r="J3" s="0" t="n">
        <v>100</v>
      </c>
      <c r="K3" s="0" t="s">
        <v>49</v>
      </c>
      <c r="L3" s="0" t="s">
        <v>55</v>
      </c>
      <c r="M3" s="0" t="s">
        <v>56</v>
      </c>
      <c r="N3" s="0" t="s">
        <v>57</v>
      </c>
      <c r="O3" s="0" t="n">
        <v>99</v>
      </c>
      <c r="P3" s="0" t="n">
        <v>105349</v>
      </c>
      <c r="Q3" s="3" t="n">
        <v>240.304067</v>
      </c>
      <c r="R3" s="3" t="n">
        <v>313.150751</v>
      </c>
      <c r="S3" s="0" t="n">
        <v>0</v>
      </c>
      <c r="T3" s="4" t="n">
        <v>0.284368549240155</v>
      </c>
      <c r="U3" s="4" t="n">
        <v>0.221196511669853</v>
      </c>
      <c r="V3" s="5" t="n">
        <v>0.267112731933594</v>
      </c>
      <c r="W3" s="5" t="n">
        <v>0.296390533447266</v>
      </c>
      <c r="X3" s="0" t="s">
        <v>53</v>
      </c>
      <c r="Y3" s="3" t="n">
        <v>14.6011778197248</v>
      </c>
      <c r="Z3" s="3" t="n">
        <v>107.711768454189</v>
      </c>
      <c r="AA3" s="0" t="n">
        <v>0.218181818181818</v>
      </c>
      <c r="AB3" s="0" t="n">
        <v>125.272965497161</v>
      </c>
      <c r="AC3" s="0" t="n">
        <v>1</v>
      </c>
      <c r="AD3" s="0" t="n">
        <v>16</v>
      </c>
      <c r="AE3" s="0" t="n">
        <v>25</v>
      </c>
      <c r="AF3" s="0" t="n">
        <v>45</v>
      </c>
      <c r="AG3" s="0" t="n">
        <v>47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1</v>
      </c>
      <c r="AO3" s="0" t="n">
        <v>0</v>
      </c>
      <c r="AP3" s="4" t="n">
        <v>1.83</v>
      </c>
      <c r="AQ3" s="0" t="n">
        <v>5</v>
      </c>
    </row>
    <row r="4" customFormat="false" ht="14.9" hidden="false" customHeight="false" outlineLevel="0" collapsed="false">
      <c r="A4" s="0" t="s">
        <v>43</v>
      </c>
      <c r="B4" s="0" t="s">
        <v>43</v>
      </c>
      <c r="C4" s="0" t="s">
        <v>44</v>
      </c>
      <c r="D4" s="0" t="s">
        <v>45</v>
      </c>
      <c r="E4" s="2" t="b">
        <f aca="false">TRUE()</f>
        <v>1</v>
      </c>
      <c r="F4" s="0" t="s">
        <v>46</v>
      </c>
      <c r="G4" s="0" t="s">
        <v>47</v>
      </c>
      <c r="H4" s="0" t="s">
        <v>58</v>
      </c>
      <c r="I4" s="0" t="n">
        <v>100</v>
      </c>
      <c r="J4" s="0" t="n">
        <v>100</v>
      </c>
      <c r="K4" s="0" t="s">
        <v>49</v>
      </c>
      <c r="L4" s="0" t="s">
        <v>59</v>
      </c>
      <c r="M4" s="0" t="s">
        <v>60</v>
      </c>
      <c r="N4" s="0" t="s">
        <v>61</v>
      </c>
      <c r="O4" s="0" t="n">
        <v>99</v>
      </c>
      <c r="P4" s="0" t="n">
        <v>100499</v>
      </c>
      <c r="Q4" s="3" t="n">
        <v>231.821467</v>
      </c>
      <c r="R4" s="3" t="n">
        <v>294.06869</v>
      </c>
      <c r="S4" s="0" t="n">
        <v>0</v>
      </c>
      <c r="T4" s="4" t="n">
        <v>0.408675307246718</v>
      </c>
      <c r="U4" s="4" t="n">
        <v>0.23353266563671</v>
      </c>
      <c r="V4" s="5" t="n">
        <v>0.295768737792969</v>
      </c>
      <c r="W4" s="5" t="n">
        <v>0.325645446777344</v>
      </c>
      <c r="X4" s="0" t="s">
        <v>53</v>
      </c>
      <c r="Y4" s="3" t="n">
        <v>13.9734565729833</v>
      </c>
      <c r="Z4" s="3" t="n">
        <v>107.605094016774</v>
      </c>
      <c r="AA4" s="0" t="n">
        <v>0.218181818181818</v>
      </c>
      <c r="AB4" s="0" t="n">
        <v>125.927272727273</v>
      </c>
      <c r="AC4" s="0" t="n">
        <v>1</v>
      </c>
      <c r="AD4" s="0" t="n">
        <v>24</v>
      </c>
      <c r="AE4" s="0" t="n">
        <v>25</v>
      </c>
      <c r="AF4" s="0" t="n">
        <v>45</v>
      </c>
      <c r="AG4" s="0" t="n">
        <v>47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1</v>
      </c>
      <c r="AO4" s="0" t="n">
        <v>0</v>
      </c>
      <c r="AP4" s="4" t="n">
        <v>1.65</v>
      </c>
      <c r="AQ4" s="0" t="n">
        <v>6</v>
      </c>
    </row>
    <row r="5" customFormat="false" ht="14.9" hidden="false" customHeight="false" outlineLevel="0" collapsed="false">
      <c r="A5" s="0" t="s">
        <v>43</v>
      </c>
      <c r="B5" s="0" t="s">
        <v>43</v>
      </c>
      <c r="C5" s="0" t="s">
        <v>44</v>
      </c>
      <c r="D5" s="0" t="s">
        <v>45</v>
      </c>
      <c r="E5" s="2" t="b">
        <f aca="false">TRUE()</f>
        <v>1</v>
      </c>
      <c r="F5" s="0" t="s">
        <v>46</v>
      </c>
      <c r="G5" s="0" t="s">
        <v>47</v>
      </c>
      <c r="H5" s="0" t="s">
        <v>62</v>
      </c>
      <c r="I5" s="0" t="n">
        <v>100</v>
      </c>
      <c r="J5" s="0" t="n">
        <v>100</v>
      </c>
      <c r="K5" s="0" t="s">
        <v>49</v>
      </c>
      <c r="L5" s="0" t="s">
        <v>63</v>
      </c>
      <c r="M5" s="0" t="s">
        <v>64</v>
      </c>
      <c r="N5" s="0" t="s">
        <v>65</v>
      </c>
      <c r="O5" s="0" t="n">
        <v>99</v>
      </c>
      <c r="P5" s="0" t="n">
        <v>105381</v>
      </c>
      <c r="Q5" s="3" t="n">
        <v>239.967913</v>
      </c>
      <c r="R5" s="3" t="n">
        <v>316.403524</v>
      </c>
      <c r="S5" s="0" t="n">
        <v>0</v>
      </c>
      <c r="T5" s="4" t="n">
        <v>0.280008335900443</v>
      </c>
      <c r="U5" s="4" t="n">
        <v>0.225317071824222</v>
      </c>
      <c r="V5" s="5" t="n">
        <v>0.324951171875</v>
      </c>
      <c r="W5" s="5" t="n">
        <v>0.330360412597656</v>
      </c>
      <c r="X5" s="0" t="s">
        <v>53</v>
      </c>
      <c r="Y5" s="3" t="n">
        <v>13.8148520734615</v>
      </c>
      <c r="Z5" s="3" t="n">
        <v>108.286922188629</v>
      </c>
      <c r="AA5" s="0" t="n">
        <v>0.218173884586015</v>
      </c>
      <c r="AB5" s="0" t="n">
        <v>125.4</v>
      </c>
      <c r="AC5" s="0" t="n">
        <v>1</v>
      </c>
      <c r="AD5" s="0" t="n">
        <v>15</v>
      </c>
      <c r="AE5" s="0" t="n">
        <v>25</v>
      </c>
      <c r="AF5" s="0" t="n">
        <v>45</v>
      </c>
      <c r="AG5" s="0" t="n">
        <v>47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1</v>
      </c>
      <c r="AO5" s="0" t="n">
        <v>0</v>
      </c>
      <c r="AP5" s="4" t="n">
        <v>1.78</v>
      </c>
      <c r="AQ5" s="0" t="n">
        <v>4</v>
      </c>
    </row>
    <row r="6" customFormat="false" ht="14.9" hidden="false" customHeight="false" outlineLevel="0" collapsed="false">
      <c r="A6" s="0" t="s">
        <v>43</v>
      </c>
      <c r="B6" s="0" t="s">
        <v>43</v>
      </c>
      <c r="C6" s="0" t="s">
        <v>44</v>
      </c>
      <c r="D6" s="0" t="s">
        <v>45</v>
      </c>
      <c r="E6" s="2" t="b">
        <f aca="false">TRUE()</f>
        <v>1</v>
      </c>
      <c r="F6" s="0" t="s">
        <v>46</v>
      </c>
      <c r="G6" s="0" t="s">
        <v>47</v>
      </c>
      <c r="H6" s="0" t="s">
        <v>66</v>
      </c>
      <c r="I6" s="0" t="n">
        <v>100</v>
      </c>
      <c r="J6" s="0" t="n">
        <v>100</v>
      </c>
      <c r="K6" s="0" t="s">
        <v>49</v>
      </c>
      <c r="L6" s="0" t="s">
        <v>67</v>
      </c>
      <c r="M6" s="0" t="s">
        <v>68</v>
      </c>
      <c r="N6" s="0" t="s">
        <v>69</v>
      </c>
      <c r="O6" s="0" t="n">
        <v>99</v>
      </c>
      <c r="P6" s="0" t="n">
        <v>105374</v>
      </c>
      <c r="Q6" s="3" t="n">
        <v>234.547707</v>
      </c>
      <c r="R6" s="3" t="n">
        <v>303.158214</v>
      </c>
      <c r="S6" s="0" t="n">
        <v>0</v>
      </c>
      <c r="T6" s="4" t="n">
        <v>0.26978751178483</v>
      </c>
      <c r="U6" s="4" t="n">
        <v>0.216662182472676</v>
      </c>
      <c r="V6" s="5" t="n">
        <v>0.326725006103516</v>
      </c>
      <c r="W6" s="5" t="n">
        <v>0.348152160644531</v>
      </c>
      <c r="X6" s="0" t="s">
        <v>53</v>
      </c>
      <c r="Y6" s="3" t="n">
        <v>15.191946866129</v>
      </c>
      <c r="Z6" s="3" t="n">
        <v>108.195408877252</v>
      </c>
      <c r="AA6" s="0" t="n">
        <v>0.218189752354631</v>
      </c>
      <c r="AB6" s="0" t="n">
        <v>125.381818181818</v>
      </c>
      <c r="AC6" s="0" t="n">
        <v>1</v>
      </c>
      <c r="AD6" s="0" t="n">
        <v>22</v>
      </c>
      <c r="AE6" s="0" t="n">
        <v>25</v>
      </c>
      <c r="AF6" s="0" t="n">
        <v>45</v>
      </c>
      <c r="AG6" s="0" t="n">
        <v>47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1</v>
      </c>
      <c r="AO6" s="0" t="n">
        <v>0</v>
      </c>
      <c r="AP6" s="4" t="n">
        <v>1.8</v>
      </c>
      <c r="AQ6" s="0" t="n">
        <v>5</v>
      </c>
    </row>
    <row r="7" customFormat="false" ht="13.8" hidden="false" customHeight="false" outlineLevel="0" collapsed="false">
      <c r="A7" s="0" t="s">
        <v>70</v>
      </c>
      <c r="B7" s="0" t="s">
        <v>70</v>
      </c>
      <c r="C7" s="0" t="s">
        <v>44</v>
      </c>
      <c r="D7" s="0" t="s">
        <v>71</v>
      </c>
      <c r="E7" s="2" t="b">
        <f aca="false">FALSE()</f>
        <v>0</v>
      </c>
      <c r="G7" s="0" t="s">
        <v>72</v>
      </c>
      <c r="H7" s="0" t="s">
        <v>48</v>
      </c>
      <c r="I7" s="0" t="n">
        <v>1</v>
      </c>
      <c r="J7" s="0" t="n">
        <v>512</v>
      </c>
      <c r="K7" s="0" t="s">
        <v>73</v>
      </c>
      <c r="L7" s="0" t="s">
        <v>74</v>
      </c>
      <c r="M7" s="0" t="s">
        <v>75</v>
      </c>
      <c r="N7" s="0" t="s">
        <v>76</v>
      </c>
      <c r="O7" s="0" t="n">
        <v>99</v>
      </c>
      <c r="P7" s="0" t="n">
        <v>62783</v>
      </c>
      <c r="Q7" s="3" t="n">
        <v>14028.925696</v>
      </c>
      <c r="R7" s="3" t="n">
        <v>21155.080889</v>
      </c>
      <c r="S7" s="0" t="n">
        <v>0</v>
      </c>
      <c r="T7" s="4" t="n">
        <v>0.0282813501927302</v>
      </c>
      <c r="U7" s="4" t="n">
        <v>0.392305547059141</v>
      </c>
      <c r="V7" s="5" t="n">
        <v>0.191307067871094</v>
      </c>
      <c r="W7" s="5" t="n">
        <v>0.332096099853516</v>
      </c>
      <c r="X7" s="0" t="n">
        <v>0.664192199707031</v>
      </c>
      <c r="Y7" s="3" t="n">
        <v>8.24621463914798</v>
      </c>
      <c r="Z7" s="3" t="n">
        <v>21171.8026761054</v>
      </c>
      <c r="AA7" s="0" t="n">
        <v>1.51973333333333</v>
      </c>
      <c r="AB7" s="0" t="n">
        <v>90.2545454545455</v>
      </c>
      <c r="AC7" s="0" t="n">
        <v>1</v>
      </c>
      <c r="AD7" s="0" t="n">
        <v>100</v>
      </c>
      <c r="AE7" s="0" t="n">
        <v>100</v>
      </c>
      <c r="AF7" s="0" t="n">
        <v>26</v>
      </c>
      <c r="AG7" s="0" t="n">
        <v>116</v>
      </c>
      <c r="AH7" s="0" t="n">
        <v>1</v>
      </c>
      <c r="AI7" s="0" t="n">
        <v>99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1</v>
      </c>
      <c r="AO7" s="0" t="n">
        <v>1</v>
      </c>
      <c r="AP7" s="4" t="n">
        <v>1</v>
      </c>
      <c r="AQ7" s="0" t="n">
        <v>99</v>
      </c>
    </row>
    <row r="8" customFormat="false" ht="13.8" hidden="false" customHeight="false" outlineLevel="0" collapsed="false">
      <c r="A8" s="0" t="s">
        <v>70</v>
      </c>
      <c r="B8" s="0" t="s">
        <v>70</v>
      </c>
      <c r="C8" s="0" t="s">
        <v>44</v>
      </c>
      <c r="D8" s="0" t="s">
        <v>71</v>
      </c>
      <c r="E8" s="2" t="n">
        <f aca="false">FALSE()</f>
        <v>0</v>
      </c>
      <c r="G8" s="0" t="s">
        <v>72</v>
      </c>
      <c r="H8" s="0" t="s">
        <v>54</v>
      </c>
      <c r="I8" s="0" t="n">
        <v>1</v>
      </c>
      <c r="J8" s="0" t="n">
        <v>512</v>
      </c>
      <c r="K8" s="0" t="s">
        <v>73</v>
      </c>
      <c r="L8" s="0" t="s">
        <v>77</v>
      </c>
      <c r="M8" s="0" t="s">
        <v>78</v>
      </c>
      <c r="N8" s="0" t="s">
        <v>79</v>
      </c>
      <c r="O8" s="0" t="n">
        <v>99</v>
      </c>
      <c r="P8" s="0" t="n">
        <v>61696</v>
      </c>
      <c r="Q8" s="3" t="n">
        <v>14187.186287</v>
      </c>
      <c r="R8" s="3" t="n">
        <v>20325.364933</v>
      </c>
      <c r="S8" s="0" t="n">
        <v>0</v>
      </c>
      <c r="T8" s="4" t="n">
        <v>0.0279008445015604</v>
      </c>
      <c r="U8" s="4" t="n">
        <v>0.4204371517579</v>
      </c>
      <c r="V8" s="5" t="n">
        <v>0.142910003662109</v>
      </c>
      <c r="W8" s="5" t="n">
        <v>0.2890625</v>
      </c>
      <c r="X8" s="0" t="n">
        <v>0.578125</v>
      </c>
      <c r="Y8" s="3" t="n">
        <v>8.30602328298432</v>
      </c>
      <c r="Z8" s="3" t="n">
        <v>20382.2570799539</v>
      </c>
      <c r="AA8" s="0" t="n">
        <v>4.15594666666667</v>
      </c>
      <c r="AB8" s="0" t="n">
        <v>90.2363636363636</v>
      </c>
      <c r="AC8" s="0" t="n">
        <v>1</v>
      </c>
      <c r="AD8" s="0" t="n">
        <v>100</v>
      </c>
      <c r="AE8" s="0" t="n">
        <v>100</v>
      </c>
      <c r="AF8" s="0" t="n">
        <v>53</v>
      </c>
      <c r="AG8" s="0" t="n">
        <v>116</v>
      </c>
      <c r="AH8" s="0" t="n">
        <v>1</v>
      </c>
      <c r="AI8" s="0" t="n">
        <v>99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1</v>
      </c>
      <c r="AO8" s="0" t="n">
        <v>1</v>
      </c>
      <c r="AP8" s="4" t="n">
        <v>1</v>
      </c>
      <c r="AQ8" s="0" t="n">
        <v>99</v>
      </c>
    </row>
    <row r="9" customFormat="false" ht="13.8" hidden="false" customHeight="false" outlineLevel="0" collapsed="false">
      <c r="A9" s="0" t="s">
        <v>70</v>
      </c>
      <c r="B9" s="0" t="s">
        <v>70</v>
      </c>
      <c r="C9" s="0" t="s">
        <v>44</v>
      </c>
      <c r="D9" s="0" t="s">
        <v>71</v>
      </c>
      <c r="E9" s="2" t="n">
        <f aca="false">FALSE()</f>
        <v>0</v>
      </c>
      <c r="G9" s="0" t="s">
        <v>72</v>
      </c>
      <c r="H9" s="0" t="s">
        <v>58</v>
      </c>
      <c r="I9" s="0" t="n">
        <v>1</v>
      </c>
      <c r="J9" s="0" t="n">
        <v>512</v>
      </c>
      <c r="K9" s="0" t="s">
        <v>73</v>
      </c>
      <c r="L9" s="0" t="s">
        <v>80</v>
      </c>
      <c r="M9" s="0" t="s">
        <v>81</v>
      </c>
      <c r="N9" s="0" t="s">
        <v>82</v>
      </c>
      <c r="O9" s="0" t="n">
        <v>99</v>
      </c>
      <c r="P9" s="0" t="n">
        <v>63915</v>
      </c>
      <c r="Q9" s="3" t="n">
        <v>13824.781941</v>
      </c>
      <c r="R9" s="3" t="n">
        <v>20652.150628</v>
      </c>
      <c r="S9" s="0" t="n">
        <v>0</v>
      </c>
      <c r="T9" s="4" t="n">
        <v>0.0278892672174335</v>
      </c>
      <c r="U9" s="4" t="n">
        <v>0.377140583650535</v>
      </c>
      <c r="V9" s="5" t="n">
        <v>0.152061462402344</v>
      </c>
      <c r="W9" s="5" t="n">
        <v>0.291839599609375</v>
      </c>
      <c r="X9" s="0" t="n">
        <v>0.58367919921875</v>
      </c>
      <c r="Y9" s="3" t="n">
        <v>8.26690726096481</v>
      </c>
      <c r="Z9" s="3" t="n">
        <v>20503.2852569872</v>
      </c>
      <c r="AA9" s="0" t="n">
        <v>6.09889</v>
      </c>
      <c r="AB9" s="0" t="n">
        <v>90.2181818181818</v>
      </c>
      <c r="AC9" s="0" t="n">
        <v>1</v>
      </c>
      <c r="AD9" s="0" t="n">
        <v>100</v>
      </c>
      <c r="AE9" s="0" t="n">
        <v>100</v>
      </c>
      <c r="AF9" s="0" t="n">
        <v>26</v>
      </c>
      <c r="AG9" s="0" t="n">
        <v>116</v>
      </c>
      <c r="AH9" s="0" t="n">
        <v>1</v>
      </c>
      <c r="AI9" s="0" t="n">
        <v>99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1</v>
      </c>
      <c r="AO9" s="0" t="n">
        <v>1</v>
      </c>
      <c r="AP9" s="4" t="n">
        <v>1</v>
      </c>
      <c r="AQ9" s="0" t="n">
        <v>99</v>
      </c>
    </row>
    <row r="10" customFormat="false" ht="13.8" hidden="false" customHeight="false" outlineLevel="0" collapsed="false">
      <c r="A10" s="0" t="s">
        <v>70</v>
      </c>
      <c r="B10" s="0" t="s">
        <v>70</v>
      </c>
      <c r="C10" s="0" t="s">
        <v>44</v>
      </c>
      <c r="D10" s="0" t="s">
        <v>71</v>
      </c>
      <c r="E10" s="2" t="n">
        <f aca="false">FALSE()</f>
        <v>0</v>
      </c>
      <c r="G10" s="0" t="s">
        <v>72</v>
      </c>
      <c r="H10" s="0" t="s">
        <v>62</v>
      </c>
      <c r="I10" s="0" t="n">
        <v>1</v>
      </c>
      <c r="J10" s="0" t="n">
        <v>512</v>
      </c>
      <c r="K10" s="0" t="s">
        <v>73</v>
      </c>
      <c r="L10" s="0" t="s">
        <v>83</v>
      </c>
      <c r="M10" s="0" t="s">
        <v>84</v>
      </c>
      <c r="N10" s="0" t="s">
        <v>85</v>
      </c>
      <c r="O10" s="0" t="n">
        <v>99</v>
      </c>
      <c r="P10" s="0" t="n">
        <v>62990</v>
      </c>
      <c r="Q10" s="3" t="n">
        <v>13980.919391</v>
      </c>
      <c r="R10" s="3" t="n">
        <v>20404.710572</v>
      </c>
      <c r="S10" s="0" t="n">
        <v>0</v>
      </c>
      <c r="T10" s="4" t="n">
        <v>0.031265101621698</v>
      </c>
      <c r="U10" s="4" t="n">
        <v>0.406874481271895</v>
      </c>
      <c r="V10" s="5" t="n">
        <v>0.12664794921875</v>
      </c>
      <c r="W10" s="5" t="n">
        <v>0.298973083496094</v>
      </c>
      <c r="X10" s="0" t="n">
        <v>0.597946166992188</v>
      </c>
      <c r="Y10" s="3" t="n">
        <v>8.28231407586371</v>
      </c>
      <c r="Z10" s="3" t="n">
        <v>20382.4470387021</v>
      </c>
      <c r="AA10" s="0" t="n">
        <v>4.32019666666667</v>
      </c>
      <c r="AB10" s="0" t="n">
        <v>90.2181818181818</v>
      </c>
      <c r="AC10" s="0" t="n">
        <v>1</v>
      </c>
      <c r="AD10" s="0" t="n">
        <v>100</v>
      </c>
      <c r="AE10" s="0" t="n">
        <v>100</v>
      </c>
      <c r="AF10" s="0" t="n">
        <v>37</v>
      </c>
      <c r="AG10" s="0" t="n">
        <v>116</v>
      </c>
      <c r="AH10" s="0" t="n">
        <v>1</v>
      </c>
      <c r="AI10" s="0" t="n">
        <v>99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1</v>
      </c>
      <c r="AO10" s="0" t="n">
        <v>1</v>
      </c>
      <c r="AP10" s="4" t="n">
        <v>1</v>
      </c>
      <c r="AQ10" s="0" t="n">
        <v>99</v>
      </c>
    </row>
    <row r="11" customFormat="false" ht="13.8" hidden="false" customHeight="false" outlineLevel="0" collapsed="false">
      <c r="A11" s="0" t="s">
        <v>70</v>
      </c>
      <c r="B11" s="0" t="s">
        <v>70</v>
      </c>
      <c r="C11" s="0" t="s">
        <v>44</v>
      </c>
      <c r="D11" s="0" t="s">
        <v>71</v>
      </c>
      <c r="E11" s="2" t="n">
        <f aca="false">FALSE()</f>
        <v>0</v>
      </c>
      <c r="G11" s="0" t="s">
        <v>72</v>
      </c>
      <c r="H11" s="0" t="s">
        <v>66</v>
      </c>
      <c r="I11" s="0" t="n">
        <v>1</v>
      </c>
      <c r="J11" s="0" t="n">
        <v>512</v>
      </c>
      <c r="K11" s="0" t="s">
        <v>73</v>
      </c>
      <c r="L11" s="0" t="s">
        <v>86</v>
      </c>
      <c r="M11" s="0" t="s">
        <v>87</v>
      </c>
      <c r="N11" s="0" t="s">
        <v>88</v>
      </c>
      <c r="O11" s="0" t="n">
        <v>99</v>
      </c>
      <c r="P11" s="0" t="n">
        <v>61994</v>
      </c>
      <c r="Q11" s="3" t="n">
        <v>14180.486693</v>
      </c>
      <c r="R11" s="3" t="n">
        <v>20723.262816</v>
      </c>
      <c r="S11" s="0" t="n">
        <v>0</v>
      </c>
      <c r="T11" s="4" t="n">
        <v>0.0280322557183898</v>
      </c>
      <c r="U11" s="4" t="n">
        <v>0.420545800696258</v>
      </c>
      <c r="V11" s="5" t="n">
        <v>0.164375305175781</v>
      </c>
      <c r="W11" s="5" t="n">
        <v>0.324306488037109</v>
      </c>
      <c r="X11" s="0" t="n">
        <v>0.648612976074219</v>
      </c>
      <c r="Y11" s="3" t="n">
        <v>8.24389806686131</v>
      </c>
      <c r="Z11" s="3" t="n">
        <v>20811.0688067705</v>
      </c>
      <c r="AA11" s="0" t="n">
        <v>4.25909333333333</v>
      </c>
      <c r="AB11" s="0" t="n">
        <v>90.2363636363636</v>
      </c>
      <c r="AC11" s="0" t="n">
        <v>1</v>
      </c>
      <c r="AD11" s="0" t="n">
        <v>100</v>
      </c>
      <c r="AE11" s="0" t="n">
        <v>100</v>
      </c>
      <c r="AF11" s="0" t="n">
        <v>58</v>
      </c>
      <c r="AG11" s="0" t="n">
        <v>116</v>
      </c>
      <c r="AH11" s="0" t="n">
        <v>1</v>
      </c>
      <c r="AI11" s="0" t="n">
        <v>99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1</v>
      </c>
      <c r="AP11" s="4" t="n">
        <v>1</v>
      </c>
      <c r="AQ11" s="0" t="n">
        <v>99</v>
      </c>
    </row>
    <row r="12" customFormat="false" ht="13.8" hidden="false" customHeight="false" outlineLevel="0" collapsed="false">
      <c r="A12" s="0" t="s">
        <v>89</v>
      </c>
      <c r="B12" s="0" t="s">
        <v>89</v>
      </c>
      <c r="C12" s="0" t="s">
        <v>44</v>
      </c>
      <c r="D12" s="0" t="s">
        <v>71</v>
      </c>
      <c r="E12" s="2" t="n">
        <f aca="false">FALSE()</f>
        <v>0</v>
      </c>
      <c r="G12" s="0" t="s">
        <v>90</v>
      </c>
      <c r="H12" s="0" t="s">
        <v>48</v>
      </c>
      <c r="I12" s="0" t="n">
        <v>1</v>
      </c>
      <c r="J12" s="0" t="n">
        <v>512</v>
      </c>
      <c r="K12" s="0" t="s">
        <v>73</v>
      </c>
      <c r="L12" s="0" t="s">
        <v>91</v>
      </c>
      <c r="M12" s="0" t="s">
        <v>92</v>
      </c>
      <c r="N12" s="0" t="s">
        <v>93</v>
      </c>
      <c r="O12" s="0" t="n">
        <v>99</v>
      </c>
      <c r="P12" s="0" t="n">
        <v>103971</v>
      </c>
      <c r="Q12" s="3" t="n">
        <v>531.150526</v>
      </c>
      <c r="R12" s="3" t="n">
        <v>6371.545771</v>
      </c>
      <c r="S12" s="0" t="n">
        <v>0</v>
      </c>
      <c r="T12" s="4" t="n">
        <v>0.0221314239583144</v>
      </c>
      <c r="U12" s="4" t="n">
        <v>0.464796241615988</v>
      </c>
      <c r="V12" s="5" t="n">
        <v>0.107109069824219</v>
      </c>
      <c r="W12" s="5" t="n">
        <v>0.273902893066406</v>
      </c>
      <c r="X12" s="0" t="n">
        <v>0.547805786132813</v>
      </c>
      <c r="AA12" s="0" t="n">
        <v>0</v>
      </c>
      <c r="AB12" s="0" t="n">
        <v>125.272727272727</v>
      </c>
      <c r="AC12" s="0" t="n">
        <v>1</v>
      </c>
      <c r="AD12" s="0" t="n">
        <v>100</v>
      </c>
      <c r="AE12" s="0" t="n">
        <v>100</v>
      </c>
      <c r="AF12" s="0" t="n">
        <v>26</v>
      </c>
      <c r="AG12" s="0" t="n">
        <v>116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1</v>
      </c>
      <c r="AO12" s="0" t="n">
        <v>1</v>
      </c>
      <c r="AP12" s="4" t="n">
        <v>4</v>
      </c>
      <c r="AQ12" s="0" t="n">
        <v>99</v>
      </c>
    </row>
    <row r="13" customFormat="false" ht="13.8" hidden="false" customHeight="false" outlineLevel="0" collapsed="false">
      <c r="A13" s="0" t="s">
        <v>89</v>
      </c>
      <c r="B13" s="0" t="s">
        <v>89</v>
      </c>
      <c r="C13" s="0" t="s">
        <v>44</v>
      </c>
      <c r="D13" s="0" t="s">
        <v>71</v>
      </c>
      <c r="E13" s="2" t="n">
        <f aca="false">FALSE()</f>
        <v>0</v>
      </c>
      <c r="G13" s="0" t="s">
        <v>90</v>
      </c>
      <c r="H13" s="0" t="s">
        <v>54</v>
      </c>
      <c r="I13" s="0" t="n">
        <v>1</v>
      </c>
      <c r="J13" s="0" t="n">
        <v>512</v>
      </c>
      <c r="K13" s="0" t="s">
        <v>73</v>
      </c>
      <c r="L13" s="0" t="s">
        <v>94</v>
      </c>
      <c r="M13" s="0" t="s">
        <v>95</v>
      </c>
      <c r="N13" s="0" t="s">
        <v>96</v>
      </c>
      <c r="O13" s="0" t="n">
        <v>99</v>
      </c>
      <c r="P13" s="0" t="n">
        <v>105420</v>
      </c>
      <c r="Q13" s="3" t="n">
        <v>53.679313</v>
      </c>
      <c r="R13" s="3" t="n">
        <v>102.624694</v>
      </c>
      <c r="S13" s="0" t="n">
        <v>0</v>
      </c>
      <c r="T13" s="4" t="n">
        <v>0.021086979821125</v>
      </c>
      <c r="U13" s="4" t="n">
        <v>0.433541348888607</v>
      </c>
      <c r="V13" s="5" t="n">
        <v>0.119438171386719</v>
      </c>
      <c r="W13" s="5" t="n">
        <v>0.245975494384766</v>
      </c>
      <c r="X13" s="0" t="n">
        <v>0.491950988769531</v>
      </c>
      <c r="Y13" s="3" t="n">
        <v>8.33251352502978</v>
      </c>
      <c r="Z13" s="3" t="n">
        <v>778.614337401266</v>
      </c>
      <c r="AA13" s="0" t="n">
        <v>4.13164</v>
      </c>
      <c r="AB13" s="0" t="n">
        <v>125.254545454545</v>
      </c>
      <c r="AC13" s="0" t="n">
        <v>1</v>
      </c>
      <c r="AD13" s="0" t="n">
        <v>9</v>
      </c>
      <c r="AE13" s="0" t="n">
        <v>100</v>
      </c>
      <c r="AF13" s="0" t="n">
        <v>26</v>
      </c>
      <c r="AG13" s="0" t="n">
        <v>57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1</v>
      </c>
      <c r="AO13" s="0" t="n">
        <v>1</v>
      </c>
      <c r="AP13" s="4" t="n">
        <v>4</v>
      </c>
      <c r="AQ13" s="0" t="n">
        <v>99</v>
      </c>
    </row>
    <row r="14" customFormat="false" ht="13.8" hidden="false" customHeight="false" outlineLevel="0" collapsed="false">
      <c r="A14" s="0" t="s">
        <v>89</v>
      </c>
      <c r="B14" s="0" t="s">
        <v>89</v>
      </c>
      <c r="C14" s="0" t="s">
        <v>44</v>
      </c>
      <c r="D14" s="0" t="s">
        <v>71</v>
      </c>
      <c r="E14" s="2" t="n">
        <f aca="false">FALSE()</f>
        <v>0</v>
      </c>
      <c r="G14" s="0" t="s">
        <v>90</v>
      </c>
      <c r="H14" s="0" t="s">
        <v>58</v>
      </c>
      <c r="I14" s="0" t="n">
        <v>1</v>
      </c>
      <c r="J14" s="0" t="n">
        <v>512</v>
      </c>
      <c r="K14" s="0" t="s">
        <v>73</v>
      </c>
      <c r="L14" s="0" t="s">
        <v>97</v>
      </c>
      <c r="M14" s="0" t="s">
        <v>98</v>
      </c>
      <c r="N14" s="0" t="s">
        <v>99</v>
      </c>
      <c r="O14" s="0" t="n">
        <v>99</v>
      </c>
      <c r="P14" s="0" t="n">
        <v>104436</v>
      </c>
      <c r="Q14" s="3" t="n">
        <v>187.112838</v>
      </c>
      <c r="R14" s="3" t="n">
        <v>5603.165168</v>
      </c>
      <c r="S14" s="0" t="n">
        <v>0</v>
      </c>
      <c r="T14" s="4" t="n">
        <v>0.0234057061656859</v>
      </c>
      <c r="U14" s="4" t="n">
        <v>0.434373774868344</v>
      </c>
      <c r="V14" s="5" t="n">
        <v>0.135295867919922</v>
      </c>
      <c r="W14" s="5" t="n">
        <v>0.264446258544922</v>
      </c>
      <c r="X14" s="0" t="n">
        <v>0.528892517089844</v>
      </c>
      <c r="Y14" s="3" t="n">
        <v>8.3194258956663</v>
      </c>
      <c r="Z14" s="3" t="n">
        <v>7107.3325172455</v>
      </c>
      <c r="AA14" s="0" t="n">
        <v>4.16299333333333</v>
      </c>
      <c r="AB14" s="0" t="n">
        <v>125.272727272727</v>
      </c>
      <c r="AC14" s="0" t="n">
        <v>1</v>
      </c>
      <c r="AD14" s="0" t="n">
        <v>100</v>
      </c>
      <c r="AE14" s="0" t="n">
        <v>100</v>
      </c>
      <c r="AF14" s="0" t="n">
        <v>50</v>
      </c>
      <c r="AG14" s="0" t="n">
        <v>116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1</v>
      </c>
      <c r="AO14" s="0" t="n">
        <v>1</v>
      </c>
      <c r="AP14" s="4" t="n">
        <v>4</v>
      </c>
      <c r="AQ14" s="0" t="n">
        <v>99</v>
      </c>
    </row>
    <row r="15" customFormat="false" ht="13.8" hidden="false" customHeight="false" outlineLevel="0" collapsed="false">
      <c r="A15" s="0" t="s">
        <v>89</v>
      </c>
      <c r="B15" s="0" t="s">
        <v>89</v>
      </c>
      <c r="C15" s="0" t="s">
        <v>44</v>
      </c>
      <c r="D15" s="0" t="s">
        <v>71</v>
      </c>
      <c r="E15" s="2" t="n">
        <f aca="false">FALSE()</f>
        <v>0</v>
      </c>
      <c r="G15" s="0" t="s">
        <v>90</v>
      </c>
      <c r="H15" s="0" t="s">
        <v>62</v>
      </c>
      <c r="I15" s="0" t="n">
        <v>1</v>
      </c>
      <c r="J15" s="0" t="n">
        <v>512</v>
      </c>
      <c r="K15" s="0" t="s">
        <v>73</v>
      </c>
      <c r="L15" s="0" t="s">
        <v>100</v>
      </c>
      <c r="M15" s="0" t="s">
        <v>101</v>
      </c>
      <c r="N15" s="0" t="s">
        <v>102</v>
      </c>
      <c r="O15" s="0" t="n">
        <v>99</v>
      </c>
      <c r="P15" s="0" t="n">
        <v>104844</v>
      </c>
      <c r="Q15" s="3" t="n">
        <v>59.75297</v>
      </c>
      <c r="R15" s="3" t="n">
        <v>1041.296145</v>
      </c>
      <c r="S15" s="0" t="n">
        <v>0</v>
      </c>
      <c r="T15" s="4" t="n">
        <v>0.0242823286598815</v>
      </c>
      <c r="U15" s="4" t="n">
        <v>0.401672381750601</v>
      </c>
      <c r="V15" s="5" t="n">
        <v>0.160797119140625</v>
      </c>
      <c r="W15" s="5" t="n">
        <v>0.261322021484375</v>
      </c>
      <c r="X15" s="0" t="n">
        <v>0.52264404296875</v>
      </c>
      <c r="Y15" s="3" t="n">
        <v>8.26395480250343</v>
      </c>
      <c r="Z15" s="3" t="n">
        <v>6918.10254542388</v>
      </c>
      <c r="AA15" s="0" t="n">
        <v>4.25366946498768</v>
      </c>
      <c r="AB15" s="0" t="n">
        <v>125.236363636364</v>
      </c>
      <c r="AC15" s="0" t="n">
        <v>1</v>
      </c>
      <c r="AD15" s="0" t="n">
        <v>100</v>
      </c>
      <c r="AE15" s="0" t="n">
        <v>100</v>
      </c>
      <c r="AF15" s="0" t="n">
        <v>48</v>
      </c>
      <c r="AG15" s="0" t="n">
        <v>116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1</v>
      </c>
      <c r="AO15" s="0" t="n">
        <v>1</v>
      </c>
      <c r="AP15" s="4" t="n">
        <v>4</v>
      </c>
      <c r="AQ15" s="0" t="n">
        <v>99</v>
      </c>
    </row>
    <row r="16" customFormat="false" ht="13.8" hidden="false" customHeight="false" outlineLevel="0" collapsed="false">
      <c r="A16" s="0" t="s">
        <v>89</v>
      </c>
      <c r="B16" s="0" t="s">
        <v>89</v>
      </c>
      <c r="C16" s="0" t="s">
        <v>44</v>
      </c>
      <c r="D16" s="0" t="s">
        <v>71</v>
      </c>
      <c r="E16" s="2" t="n">
        <f aca="false">FALSE()</f>
        <v>0</v>
      </c>
      <c r="G16" s="0" t="s">
        <v>90</v>
      </c>
      <c r="H16" s="0" t="s">
        <v>66</v>
      </c>
      <c r="I16" s="0" t="n">
        <v>1</v>
      </c>
      <c r="J16" s="0" t="n">
        <v>512</v>
      </c>
      <c r="K16" s="0" t="s">
        <v>73</v>
      </c>
      <c r="L16" s="0" t="s">
        <v>103</v>
      </c>
      <c r="M16" s="0" t="s">
        <v>104</v>
      </c>
      <c r="N16" s="0" t="s">
        <v>105</v>
      </c>
      <c r="O16" s="0" t="n">
        <v>99</v>
      </c>
      <c r="P16" s="0" t="n">
        <v>105412</v>
      </c>
      <c r="Q16" s="3" t="n">
        <v>52.63932</v>
      </c>
      <c r="R16" s="3" t="n">
        <v>101.262483</v>
      </c>
      <c r="S16" s="0" t="n">
        <v>0</v>
      </c>
      <c r="T16" s="4" t="n">
        <v>0.0251432740685038</v>
      </c>
      <c r="U16" s="4" t="n">
        <v>0.439532308139218</v>
      </c>
      <c r="V16" s="5" t="n">
        <v>0.138256072998047</v>
      </c>
      <c r="W16" s="5" t="n">
        <v>0.236358642578125</v>
      </c>
      <c r="X16" s="0" t="n">
        <v>0.47271728515625</v>
      </c>
      <c r="Y16" s="3" t="n">
        <v>8.2539878690594</v>
      </c>
      <c r="Z16" s="3" t="n">
        <v>1333.229431225</v>
      </c>
      <c r="AA16" s="0" t="n">
        <v>6.17406333333333</v>
      </c>
      <c r="AB16" s="0" t="n">
        <v>125.272727272727</v>
      </c>
      <c r="AC16" s="0" t="n">
        <v>1</v>
      </c>
      <c r="AD16" s="0" t="n">
        <v>33</v>
      </c>
      <c r="AE16" s="0" t="n">
        <v>100</v>
      </c>
      <c r="AF16" s="0" t="n">
        <v>26</v>
      </c>
      <c r="AG16" s="0" t="n">
        <v>53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1</v>
      </c>
      <c r="AO16" s="0" t="n">
        <v>1</v>
      </c>
      <c r="AP16" s="4" t="n">
        <v>4</v>
      </c>
      <c r="AQ16" s="0" t="n">
        <v>99</v>
      </c>
    </row>
    <row r="17" customFormat="false" ht="13.8" hidden="false" customHeight="false" outlineLevel="0" collapsed="false">
      <c r="A17" s="0" t="s">
        <v>106</v>
      </c>
      <c r="B17" s="0" t="s">
        <v>106</v>
      </c>
      <c r="C17" s="0" t="s">
        <v>44</v>
      </c>
      <c r="D17" s="0" t="s">
        <v>71</v>
      </c>
      <c r="E17" s="2" t="n">
        <f aca="false">FALSE()</f>
        <v>0</v>
      </c>
      <c r="G17" s="0" t="s">
        <v>107</v>
      </c>
      <c r="H17" s="0" t="s">
        <v>48</v>
      </c>
      <c r="I17" s="0" t="n">
        <v>1</v>
      </c>
      <c r="J17" s="0" t="n">
        <v>512</v>
      </c>
      <c r="K17" s="0" t="s">
        <v>73</v>
      </c>
      <c r="L17" s="0" t="s">
        <v>108</v>
      </c>
      <c r="M17" s="0" t="s">
        <v>109</v>
      </c>
      <c r="N17" s="0" t="s">
        <v>110</v>
      </c>
      <c r="O17" s="0" t="n">
        <v>99</v>
      </c>
      <c r="P17" s="0" t="n">
        <v>105424</v>
      </c>
      <c r="Q17" s="3" t="n">
        <v>54.447544</v>
      </c>
      <c r="R17" s="3" t="n">
        <v>104.575735</v>
      </c>
      <c r="S17" s="0" t="n">
        <v>0</v>
      </c>
      <c r="T17" s="4" t="n">
        <v>0.0210643800407692</v>
      </c>
      <c r="U17" s="4" t="n">
        <v>0.383703267400873</v>
      </c>
      <c r="V17" s="5" t="n">
        <v>0.162910461425781</v>
      </c>
      <c r="W17" s="5" t="n">
        <v>0.240375518798828</v>
      </c>
      <c r="X17" s="0" t="n">
        <v>0.480751037597656</v>
      </c>
      <c r="Y17" s="3" t="n">
        <v>8.32278743593362</v>
      </c>
      <c r="Z17" s="3" t="n">
        <v>414.857718809327</v>
      </c>
      <c r="AA17" s="0" t="n">
        <v>4.48945333333333</v>
      </c>
      <c r="AB17" s="0" t="n">
        <v>125.254545454545</v>
      </c>
      <c r="AC17" s="0" t="n">
        <v>1</v>
      </c>
      <c r="AD17" s="0" t="n">
        <v>6</v>
      </c>
      <c r="AE17" s="0" t="n">
        <v>50</v>
      </c>
      <c r="AF17" s="0" t="n">
        <v>26</v>
      </c>
      <c r="AG17" s="0" t="n">
        <v>51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1</v>
      </c>
      <c r="AO17" s="0" t="n">
        <v>1</v>
      </c>
      <c r="AP17" s="4" t="n">
        <v>2.02</v>
      </c>
      <c r="AQ17" s="0" t="n">
        <v>4</v>
      </c>
    </row>
    <row r="18" customFormat="false" ht="13.8" hidden="false" customHeight="false" outlineLevel="0" collapsed="false">
      <c r="A18" s="0" t="s">
        <v>106</v>
      </c>
      <c r="B18" s="0" t="s">
        <v>106</v>
      </c>
      <c r="C18" s="0" t="s">
        <v>44</v>
      </c>
      <c r="D18" s="0" t="s">
        <v>71</v>
      </c>
      <c r="E18" s="2" t="n">
        <f aca="false">FALSE()</f>
        <v>0</v>
      </c>
      <c r="G18" s="0" t="s">
        <v>107</v>
      </c>
      <c r="H18" s="0" t="s">
        <v>54</v>
      </c>
      <c r="I18" s="0" t="n">
        <v>1</v>
      </c>
      <c r="J18" s="0" t="n">
        <v>512</v>
      </c>
      <c r="K18" s="0" t="s">
        <v>73</v>
      </c>
      <c r="L18" s="0" t="s">
        <v>111</v>
      </c>
      <c r="M18" s="0" t="s">
        <v>112</v>
      </c>
      <c r="N18" s="0" t="s">
        <v>113</v>
      </c>
      <c r="O18" s="0" t="n">
        <v>99</v>
      </c>
      <c r="P18" s="0" t="n">
        <v>105427</v>
      </c>
      <c r="Q18" s="3" t="n">
        <v>52.285722</v>
      </c>
      <c r="R18" s="3" t="n">
        <v>104.196152</v>
      </c>
      <c r="S18" s="0" t="n">
        <v>0</v>
      </c>
      <c r="T18" s="4" t="n">
        <v>0.0206482929348696</v>
      </c>
      <c r="U18" s="4" t="n">
        <v>0.449306206360084</v>
      </c>
      <c r="V18" s="5" t="n">
        <v>0.161731719970703</v>
      </c>
      <c r="W18" s="5" t="n">
        <v>0.240402221679687</v>
      </c>
      <c r="X18" s="0" t="n">
        <v>0.480804443359375</v>
      </c>
      <c r="Y18" s="3" t="n">
        <v>8.2412891568187</v>
      </c>
      <c r="Z18" s="3" t="n">
        <v>196.886816754727</v>
      </c>
      <c r="AA18" s="0" t="n">
        <v>4.42668</v>
      </c>
      <c r="AB18" s="0" t="n">
        <v>125.254545454545</v>
      </c>
      <c r="AC18" s="0" t="n">
        <v>1</v>
      </c>
      <c r="AD18" s="0" t="n">
        <v>9</v>
      </c>
      <c r="AE18" s="0" t="n">
        <v>50</v>
      </c>
      <c r="AF18" s="0" t="n">
        <v>26</v>
      </c>
      <c r="AG18" s="0" t="n">
        <v>49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1</v>
      </c>
      <c r="AO18" s="0" t="n">
        <v>1</v>
      </c>
      <c r="AP18" s="4" t="n">
        <v>2.25</v>
      </c>
      <c r="AQ18" s="0" t="n">
        <v>8</v>
      </c>
    </row>
    <row r="19" customFormat="false" ht="13.8" hidden="false" customHeight="false" outlineLevel="0" collapsed="false">
      <c r="A19" s="0" t="s">
        <v>106</v>
      </c>
      <c r="B19" s="0" t="s">
        <v>106</v>
      </c>
      <c r="C19" s="0" t="s">
        <v>44</v>
      </c>
      <c r="D19" s="0" t="s">
        <v>71</v>
      </c>
      <c r="E19" s="2" t="n">
        <f aca="false">FALSE()</f>
        <v>0</v>
      </c>
      <c r="G19" s="0" t="s">
        <v>107</v>
      </c>
      <c r="H19" s="0" t="s">
        <v>58</v>
      </c>
      <c r="I19" s="0" t="n">
        <v>1</v>
      </c>
      <c r="J19" s="0" t="n">
        <v>512</v>
      </c>
      <c r="K19" s="0" t="s">
        <v>73</v>
      </c>
      <c r="L19" s="0" t="s">
        <v>114</v>
      </c>
      <c r="M19" s="0" t="s">
        <v>115</v>
      </c>
      <c r="N19" s="0" t="s">
        <v>116</v>
      </c>
      <c r="O19" s="0" t="n">
        <v>99</v>
      </c>
      <c r="P19" s="0" t="n">
        <v>105428</v>
      </c>
      <c r="Q19" s="3" t="n">
        <v>56.47946</v>
      </c>
      <c r="R19" s="3" t="n">
        <v>104.498073</v>
      </c>
      <c r="S19" s="0" t="n">
        <v>0</v>
      </c>
      <c r="T19" s="4" t="n">
        <v>0.0213494451478365</v>
      </c>
      <c r="U19" s="4" t="n">
        <v>0.416485962170609</v>
      </c>
      <c r="V19" s="5" t="n">
        <v>0.112083435058594</v>
      </c>
      <c r="W19" s="5" t="n">
        <v>0.2366943359375</v>
      </c>
      <c r="X19" s="0" t="n">
        <v>0.473388671875</v>
      </c>
      <c r="Y19" s="3" t="n">
        <v>8.31650532310729</v>
      </c>
      <c r="Z19" s="3" t="n">
        <v>150.663085735165</v>
      </c>
      <c r="AA19" s="0" t="n">
        <v>1.38698333333333</v>
      </c>
      <c r="AB19" s="0" t="n">
        <v>125.236363636364</v>
      </c>
      <c r="AC19" s="0" t="n">
        <v>1</v>
      </c>
      <c r="AD19" s="0" t="n">
        <v>13</v>
      </c>
      <c r="AE19" s="0" t="n">
        <v>50</v>
      </c>
      <c r="AF19" s="0" t="n">
        <v>28</v>
      </c>
      <c r="AG19" s="0" t="n">
        <v>48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1</v>
      </c>
      <c r="AO19" s="0" t="n">
        <v>1</v>
      </c>
      <c r="AP19" s="4" t="n">
        <v>2.24</v>
      </c>
      <c r="AQ19" s="0" t="n">
        <v>3</v>
      </c>
    </row>
    <row r="20" customFormat="false" ht="13.8" hidden="false" customHeight="false" outlineLevel="0" collapsed="false">
      <c r="A20" s="0" t="s">
        <v>106</v>
      </c>
      <c r="B20" s="0" t="s">
        <v>106</v>
      </c>
      <c r="C20" s="0" t="s">
        <v>44</v>
      </c>
      <c r="D20" s="0" t="s">
        <v>71</v>
      </c>
      <c r="E20" s="2" t="n">
        <f aca="false">FALSE()</f>
        <v>0</v>
      </c>
      <c r="G20" s="0" t="s">
        <v>107</v>
      </c>
      <c r="H20" s="0" t="s">
        <v>62</v>
      </c>
      <c r="I20" s="0" t="n">
        <v>1</v>
      </c>
      <c r="J20" s="0" t="n">
        <v>512</v>
      </c>
      <c r="K20" s="0" t="s">
        <v>73</v>
      </c>
      <c r="L20" s="0" t="s">
        <v>117</v>
      </c>
      <c r="M20" s="0" t="s">
        <v>118</v>
      </c>
      <c r="N20" s="0" t="s">
        <v>119</v>
      </c>
      <c r="O20" s="0" t="n">
        <v>99</v>
      </c>
      <c r="P20" s="0" t="n">
        <v>105427</v>
      </c>
      <c r="Q20" s="3" t="n">
        <v>54.682456</v>
      </c>
      <c r="R20" s="3" t="n">
        <v>104.747029</v>
      </c>
      <c r="S20" s="0" t="n">
        <v>0</v>
      </c>
      <c r="T20" s="4" t="n">
        <v>0.0206436168427956</v>
      </c>
      <c r="U20" s="4" t="n">
        <v>0.420439363553722</v>
      </c>
      <c r="V20" s="5" t="n">
        <v>0.145977020263672</v>
      </c>
      <c r="W20" s="5" t="n">
        <v>0.245174407958984</v>
      </c>
      <c r="X20" s="0" t="n">
        <v>0.490348815917969</v>
      </c>
      <c r="Y20" s="3" t="n">
        <v>8.29108382584597</v>
      </c>
      <c r="Z20" s="3" t="n">
        <v>354.1164740966</v>
      </c>
      <c r="AA20" s="0" t="n">
        <v>4.38992</v>
      </c>
      <c r="AB20" s="0" t="n">
        <v>125.254545454545</v>
      </c>
      <c r="AC20" s="0" t="n">
        <v>1</v>
      </c>
      <c r="AD20" s="0" t="n">
        <v>20</v>
      </c>
      <c r="AE20" s="0" t="n">
        <v>50</v>
      </c>
      <c r="AF20" s="0" t="n">
        <v>40</v>
      </c>
      <c r="AG20" s="0" t="n">
        <v>48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1</v>
      </c>
      <c r="AO20" s="0" t="n">
        <v>1</v>
      </c>
      <c r="AP20" s="4" t="n">
        <v>2.29</v>
      </c>
      <c r="AQ20" s="0" t="n">
        <v>5</v>
      </c>
    </row>
    <row r="21" customFormat="false" ht="13.8" hidden="false" customHeight="false" outlineLevel="0" collapsed="false">
      <c r="A21" s="0" t="s">
        <v>106</v>
      </c>
      <c r="B21" s="0" t="s">
        <v>106</v>
      </c>
      <c r="C21" s="0" t="s">
        <v>44</v>
      </c>
      <c r="D21" s="0" t="s">
        <v>71</v>
      </c>
      <c r="E21" s="2" t="n">
        <f aca="false">FALSE()</f>
        <v>0</v>
      </c>
      <c r="G21" s="0" t="s">
        <v>107</v>
      </c>
      <c r="H21" s="0" t="s">
        <v>66</v>
      </c>
      <c r="I21" s="0" t="n">
        <v>1</v>
      </c>
      <c r="J21" s="0" t="n">
        <v>512</v>
      </c>
      <c r="K21" s="0" t="s">
        <v>73</v>
      </c>
      <c r="L21" s="0" t="s">
        <v>120</v>
      </c>
      <c r="M21" s="0" t="s">
        <v>121</v>
      </c>
      <c r="N21" s="0" t="s">
        <v>122</v>
      </c>
      <c r="O21" s="0" t="n">
        <v>99</v>
      </c>
      <c r="P21" s="0" t="n">
        <v>105428</v>
      </c>
      <c r="Q21" s="3" t="n">
        <v>51.672464</v>
      </c>
      <c r="R21" s="3" t="n">
        <v>97.254834</v>
      </c>
      <c r="S21" s="0" t="n">
        <v>0</v>
      </c>
      <c r="T21" s="4" t="n">
        <v>0.0210954244593937</v>
      </c>
      <c r="U21" s="4" t="n">
        <v>0.370220584583732</v>
      </c>
      <c r="V21" s="5" t="n">
        <v>0.148017883300781</v>
      </c>
      <c r="W21" s="5" t="n">
        <v>0.238285064697266</v>
      </c>
      <c r="X21" s="0" t="n">
        <v>0.476570129394531</v>
      </c>
      <c r="Y21" s="3" t="n">
        <v>8.27567690434744</v>
      </c>
      <c r="Z21" s="3" t="n">
        <v>213.49454534295</v>
      </c>
      <c r="AA21" s="0" t="n">
        <v>4.63736666666667</v>
      </c>
      <c r="AB21" s="0" t="n">
        <v>125.236363636364</v>
      </c>
      <c r="AC21" s="0" t="n">
        <v>1</v>
      </c>
      <c r="AD21" s="0" t="n">
        <v>6</v>
      </c>
      <c r="AE21" s="0" t="n">
        <v>50</v>
      </c>
      <c r="AF21" s="0" t="n">
        <v>38</v>
      </c>
      <c r="AG21" s="0" t="n">
        <v>46</v>
      </c>
      <c r="AJ21" s="2" t="b">
        <f aca="false">FALSE()</f>
        <v>0</v>
      </c>
      <c r="AK21" s="2" t="b">
        <f aca="false">FALSE()</f>
        <v>0</v>
      </c>
      <c r="AL21" s="2" t="b">
        <f aca="false">FALSE()</f>
        <v>0</v>
      </c>
      <c r="AM21" s="2" t="b">
        <f aca="false">FALSE()</f>
        <v>0</v>
      </c>
      <c r="AN21" s="2" t="b">
        <f aca="false">TRUE()</f>
        <v>1</v>
      </c>
      <c r="AO21" s="2" t="b">
        <f aca="false">TRUE()</f>
        <v>1</v>
      </c>
      <c r="AP21" s="4" t="n">
        <v>1.85</v>
      </c>
      <c r="AQ21" s="0" t="n">
        <v>5</v>
      </c>
    </row>
    <row r="25" customFormat="false" ht="13.8" hidden="false" customHeight="false" outlineLevel="0" collapsed="false">
      <c r="U25" s="4"/>
    </row>
    <row r="1048576" customFormat="false" ht="12.8" hidden="false" customHeight="false" outlineLevel="0" collapsed="false"/>
  </sheetData>
  <autoFilter ref="A1:AQ21"/>
  <hyperlinks>
    <hyperlink ref="D2" r:id="rId1" display="http://ec2.compute-1.amazonaws.com:8080"/>
    <hyperlink ref="F2" r:id="rId2" display="http://ec2.compute-1.amazonaws.com:9090"/>
    <hyperlink ref="D3" r:id="rId3" display="http://ec2.compute-1.amazonaws.com:8080"/>
    <hyperlink ref="F3" r:id="rId4" display="http://ec2.compute-1.amazonaws.com:9090"/>
    <hyperlink ref="D4" r:id="rId5" display="http://ec2.compute-1.amazonaws.com:8080"/>
    <hyperlink ref="F4" r:id="rId6" display="http://ec2.compute-1.amazonaws.com:9090"/>
    <hyperlink ref="D5" r:id="rId7" display="http://ec2.compute-1.amazonaws.com:8080"/>
    <hyperlink ref="F5" r:id="rId8" display="http://ec2.compute-1.amazonaws.com:9090"/>
    <hyperlink ref="D6" r:id="rId9" display="http://ec2.compute-1.amazonaws.com:8080"/>
    <hyperlink ref="F6" r:id="rId10" display="http://ec2.compute-1.amazonaws.com:909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2026-04-14T06:26:00Z</dcterms:created>
  <dc:creator>openpyxl</dc:creator>
  <dc:description/>
  <dc:language>pt-BR</dc:language>
  <cp:lastModifiedBy/>
  <dcterms:modified xsi:type="dcterms:W3CDTF">2026-04-15T23:03:05Z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